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12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E7D32"/>
      <sz val="11"/>
    </font>
    <font>
      <name val="Calibri"/>
      <b val="1"/>
      <color rgb="00E65100"/>
      <sz val="11"/>
    </font>
    <font>
      <name val="Calibri"/>
      <b val="1"/>
      <color rgb="00757575"/>
      <sz val="11"/>
    </font>
    <font>
      <name val="Calibri"/>
      <b val="1"/>
      <color rgb="00FFFFFF"/>
      <sz val="12"/>
    </font>
    <font>
      <name val="Calibri"/>
      <b val="1"/>
      <color rgb="001B3A5C"/>
      <sz val="13"/>
    </font>
    <font>
      <name val="Calibri"/>
      <b val="1"/>
      <color rgb="001B3A5C"/>
      <sz val="11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2" borderId="1" applyAlignment="1" pivotButton="0" quotePrefix="0" xfId="0">
      <alignment horizontal="right" vertical="center"/>
    </xf>
    <xf numFmtId="3" fontId="9" fillId="2" borderId="1" applyAlignment="1" pivotButton="0" quotePrefix="0" xfId="0">
      <alignment horizontal="center"/>
    </xf>
    <xf numFmtId="0" fontId="0" fillId="2" borderId="1" pivotButton="0" quotePrefix="0" xfId="0"/>
    <xf numFmtId="164" fontId="9" fillId="2" borderId="1" applyAlignment="1" pivotButton="0" quotePrefix="0" xfId="0">
      <alignment horizontal="center"/>
    </xf>
    <xf numFmtId="0" fontId="10" fillId="0" borderId="0" pivotButton="0" quotePrefix="0" xfId="0"/>
    <xf numFmtId="0" fontId="4" fillId="5" borderId="1" applyAlignment="1" pivotButton="0" quotePrefix="0" xfId="0">
      <alignment horizontal="right"/>
    </xf>
    <xf numFmtId="165" fontId="11" fillId="0" borderId="1" applyAlignment="1" pivotButton="0" quotePrefix="0" xfId="0">
      <alignment horizontal="center"/>
    </xf>
    <xf numFmtId="3" fontId="11" fillId="0" borderId="1" applyAlignment="1" pivotButton="0" quotePrefix="0" xfId="0">
      <alignment horizontal="center"/>
    </xf>
    <xf numFmtId="164" fontId="11" fillId="0" borderId="1" applyAlignment="1" pivotButton="0" quotePrefix="0" xfId="0">
      <alignment horizontal="center"/>
    </xf>
    <xf numFmtId="9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 ht="36" customHeight="1">
      <c r="A1" s="1" t="inlineStr">
        <is>
          <t>Project Budget Tracker</t>
        </is>
      </c>
    </row>
    <row r="2" ht="20" customHeight="1">
      <c r="A2" s="2" t="inlineStr">
        <is>
          <t>Generated 2026-03-31</t>
        </is>
      </c>
    </row>
    <row r="4" ht="28" customHeight="1">
      <c r="A4" s="3" t="inlineStr">
        <is>
          <t>Task</t>
        </is>
      </c>
      <c r="B4" s="3" t="inlineStr">
        <is>
          <t>Estimated Hours</t>
        </is>
      </c>
      <c r="C4" s="3" t="inlineStr">
        <is>
          <t>Hourly Rate ($)</t>
        </is>
      </c>
      <c r="D4" s="3" t="inlineStr">
        <is>
          <t>Total Cost ($)</t>
        </is>
      </c>
      <c r="E4" s="3" t="inlineStr">
        <is>
          <t>Status</t>
        </is>
      </c>
    </row>
    <row r="5">
      <c r="A5" s="4" t="inlineStr">
        <is>
          <t>Requirements Gathering</t>
        </is>
      </c>
      <c r="B5" s="5" t="n">
        <v>12</v>
      </c>
      <c r="C5" s="6" t="n">
        <v>150</v>
      </c>
      <c r="D5" s="7">
        <f>B5*C5</f>
        <v/>
      </c>
      <c r="E5" s="8" t="inlineStr">
        <is>
          <t>Complete</t>
        </is>
      </c>
    </row>
    <row r="6">
      <c r="A6" s="9" t="inlineStr">
        <is>
          <t>UI/UX Design</t>
        </is>
      </c>
      <c r="B6" s="10" t="n">
        <v>24</v>
      </c>
      <c r="C6" s="11" t="n">
        <v>130</v>
      </c>
      <c r="D6" s="12">
        <f>B6*C6</f>
        <v/>
      </c>
      <c r="E6" s="13" t="inlineStr">
        <is>
          <t>Complete</t>
        </is>
      </c>
    </row>
    <row r="7">
      <c r="A7" s="4" t="inlineStr">
        <is>
          <t>Frontend Development</t>
        </is>
      </c>
      <c r="B7" s="5" t="n">
        <v>80</v>
      </c>
      <c r="C7" s="6" t="n">
        <v>145</v>
      </c>
      <c r="D7" s="7">
        <f>B7*C7</f>
        <v/>
      </c>
      <c r="E7" s="14" t="inlineStr">
        <is>
          <t>In Progress</t>
        </is>
      </c>
    </row>
    <row r="8">
      <c r="A8" s="9" t="inlineStr">
        <is>
          <t>Backend Development</t>
        </is>
      </c>
      <c r="B8" s="10" t="n">
        <v>96</v>
      </c>
      <c r="C8" s="11" t="n">
        <v>155</v>
      </c>
      <c r="D8" s="12">
        <f>B8*C8</f>
        <v/>
      </c>
      <c r="E8" s="15" t="inlineStr">
        <is>
          <t>In Progress</t>
        </is>
      </c>
    </row>
    <row r="9">
      <c r="A9" s="4" t="inlineStr">
        <is>
          <t>Database Design &amp; Setup</t>
        </is>
      </c>
      <c r="B9" s="5" t="n">
        <v>20</v>
      </c>
      <c r="C9" s="6" t="n">
        <v>160</v>
      </c>
      <c r="D9" s="7">
        <f>B9*C9</f>
        <v/>
      </c>
      <c r="E9" s="8" t="inlineStr">
        <is>
          <t>Complete</t>
        </is>
      </c>
    </row>
    <row r="10">
      <c r="A10" s="9" t="inlineStr">
        <is>
          <t>API Integration</t>
        </is>
      </c>
      <c r="B10" s="10" t="n">
        <v>32</v>
      </c>
      <c r="C10" s="11" t="n">
        <v>150</v>
      </c>
      <c r="D10" s="12">
        <f>B10*C10</f>
        <v/>
      </c>
      <c r="E10" s="16" t="inlineStr">
        <is>
          <t>Not Started</t>
        </is>
      </c>
    </row>
    <row r="11">
      <c r="A11" s="4" t="inlineStr">
        <is>
          <t>Testing &amp; QA</t>
        </is>
      </c>
      <c r="B11" s="5" t="n">
        <v>40</v>
      </c>
      <c r="C11" s="6" t="n">
        <v>120</v>
      </c>
      <c r="D11" s="7">
        <f>B11*C11</f>
        <v/>
      </c>
      <c r="E11" s="17" t="inlineStr">
        <is>
          <t>Not Started</t>
        </is>
      </c>
    </row>
    <row r="12">
      <c r="A12" s="9" t="inlineStr">
        <is>
          <t>DevOps &amp; Deployment</t>
        </is>
      </c>
      <c r="B12" s="10" t="n">
        <v>16</v>
      </c>
      <c r="C12" s="11" t="n">
        <v>170</v>
      </c>
      <c r="D12" s="12">
        <f>B12*C12</f>
        <v/>
      </c>
      <c r="E12" s="16" t="inlineStr">
        <is>
          <t>Not Started</t>
        </is>
      </c>
    </row>
    <row r="13">
      <c r="A13" s="4" t="inlineStr">
        <is>
          <t>Documentation</t>
        </is>
      </c>
      <c r="B13" s="5" t="n">
        <v>10</v>
      </c>
      <c r="C13" s="6" t="n">
        <v>100</v>
      </c>
      <c r="D13" s="7">
        <f>B13*C13</f>
        <v/>
      </c>
      <c r="E13" s="17" t="inlineStr">
        <is>
          <t>Not Started</t>
        </is>
      </c>
    </row>
    <row r="14">
      <c r="A14" s="9" t="inlineStr">
        <is>
          <t>Project Management</t>
        </is>
      </c>
      <c r="B14" s="10" t="n">
        <v>30</v>
      </c>
      <c r="C14" s="11" t="n">
        <v>140</v>
      </c>
      <c r="D14" s="12">
        <f>B14*C14</f>
        <v/>
      </c>
      <c r="E14" s="15" t="inlineStr">
        <is>
          <t>In Progress</t>
        </is>
      </c>
    </row>
    <row r="16" ht="28" customHeight="1">
      <c r="A16" s="18" t="inlineStr">
        <is>
          <t>TOTAL</t>
        </is>
      </c>
      <c r="B16" s="19">
        <f>SUM(B5:B14)</f>
        <v/>
      </c>
      <c r="C16" s="20" t="n"/>
      <c r="D16" s="21">
        <f>SUM(D5:D14)</f>
        <v/>
      </c>
      <c r="E16" s="20" t="n"/>
    </row>
    <row r="18" ht="24" customHeight="1">
      <c r="A18" s="22" t="inlineStr">
        <is>
          <t>Summary</t>
        </is>
      </c>
    </row>
    <row r="19">
      <c r="A19" s="23" t="inlineStr">
        <is>
          <t>Average Hourly Rate</t>
        </is>
      </c>
      <c r="B19" s="24">
        <f>AVERAGE(C5:C14)</f>
        <v/>
      </c>
    </row>
    <row r="20">
      <c r="A20" s="23" t="inlineStr">
        <is>
          <t>Total Estimated Hours</t>
        </is>
      </c>
      <c r="B20" s="25">
        <f>SUM(B5:B14)</f>
        <v/>
      </c>
    </row>
    <row r="21">
      <c r="A21" s="23" t="inlineStr">
        <is>
          <t>Total Budget</t>
        </is>
      </c>
      <c r="B21" s="26">
        <f>D16</f>
        <v/>
      </c>
    </row>
    <row r="22">
      <c r="A22" s="23" t="inlineStr">
        <is>
          <t>Tasks Complete</t>
        </is>
      </c>
      <c r="B22" s="25">
        <f>COUNTIF(E5:E14,"Complete")</f>
        <v/>
      </c>
    </row>
    <row r="23">
      <c r="A23" s="23" t="inlineStr">
        <is>
          <t>Tasks In Progress</t>
        </is>
      </c>
      <c r="B23" s="25">
        <f>COUNTIF(E5:E14,"In Progress")</f>
        <v/>
      </c>
    </row>
    <row r="24">
      <c r="A24" s="23" t="inlineStr">
        <is>
          <t>Tasks Not Started</t>
        </is>
      </c>
      <c r="B24" s="25">
        <f>COUNTIF(E5:E14,"Not Started")</f>
        <v/>
      </c>
    </row>
    <row r="25">
      <c r="A25" s="23" t="inlineStr">
        <is>
          <t>Completion %</t>
        </is>
      </c>
      <c r="B25" s="27">
        <f>COUNTIF(E5:E14,"Complete")/COUNTA(E5:E14)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2026-03-31T20:44:27Z</dcterms:created>
  <dcterms:modified xmlns:dcterms="http://purl.org/dc/terms/" xmlns:xsi="http://www.w3.org/2001/XMLSchema-instance" xsi:type="dcterms:W3CDTF">2026-03-31T20:44:27Z</dcterms:modified>
</cp:coreProperties>
</file>